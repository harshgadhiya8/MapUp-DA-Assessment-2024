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arsh\Desktop\MapUp-DA-Assessment-2024-main\"/>
    </mc:Choice>
  </mc:AlternateContent>
  <xr:revisionPtr revIDLastSave="0" documentId="13_ncr:1_{875CBCD2-A29F-47D4-98F7-118C7705A86E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F17" i="16" l="1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23" i="20"/>
  <c r="D12" i="19"/>
  <c r="D22" i="19" s="1"/>
  <c r="D13" i="19"/>
  <c r="D14" i="19"/>
  <c r="D15" i="19"/>
  <c r="D16" i="19"/>
  <c r="D17" i="19"/>
  <c r="D18" i="19"/>
  <c r="D19" i="19"/>
  <c r="D20" i="19"/>
  <c r="D21" i="19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C30" i="18"/>
  <c r="D30" i="18"/>
  <c r="E30" i="18"/>
  <c r="F30" i="18"/>
  <c r="B30" i="18"/>
  <c r="C29" i="18"/>
  <c r="D29" i="18"/>
  <c r="E29" i="18"/>
  <c r="F29" i="18"/>
  <c r="F28" i="18"/>
  <c r="E28" i="18"/>
  <c r="D28" i="18"/>
  <c r="C28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2" i="1"/>
</calcChain>
</file>

<file path=xl/sharedStrings.xml><?xml version="1.0" encoding="utf-8"?>
<sst xmlns="http://schemas.openxmlformats.org/spreadsheetml/2006/main" count="327" uniqueCount="180">
  <si>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</si>
  <si>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</si>
  <si>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</si>
  <si>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</si>
  <si>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</si>
  <si>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</si>
  <si>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</si>
  <si>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</si>
  <si>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</si>
  <si>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</si>
  <si>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</si>
  <si>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</si>
  <si>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</si>
  <si>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</si>
  <si>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</si>
  <si>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</si>
  <si>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</si>
  <si>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</si>
  <si>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</si>
  <si>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</si>
  <si>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</si>
  <si>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</si>
  <si>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</si>
  <si>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</si>
  <si>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</si>
  <si>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</si>
  <si>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</si>
  <si>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</si>
  <si>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</si>
  <si>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</si>
  <si>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</si>
  <si>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</si>
  <si>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</si>
  <si>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</si>
  <si>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</si>
  <si>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</si>
  <si>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</si>
  <si>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</si>
  <si>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</si>
  <si>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</si>
  <si>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</si>
  <si>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</si>
  <si>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</si>
  <si>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</si>
  <si>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</si>
  <si>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</si>
  <si>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</si>
  <si>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</si>
  <si>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</si>
  <si>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</si>
  <si>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</si>
  <si>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</si>
  <si>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</si>
  <si>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</si>
  <si>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</si>
  <si>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</si>
  <si>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</si>
  <si>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</si>
  <si>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</si>
  <si>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</si>
  <si>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</si>
  <si>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</si>
  <si>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</si>
  <si>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</si>
  <si>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</si>
  <si>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</si>
  <si>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</si>
  <si>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</si>
  <si>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</si>
  <si>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</si>
  <si>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</si>
  <si>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</si>
  <si>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</si>
  <si>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</si>
  <si>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</si>
  <si>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</si>
  <si>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</si>
  <si>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</si>
  <si>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</si>
  <si>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</si>
  <si>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</si>
  <si>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</si>
  <si>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</si>
  <si>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</si>
  <si>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</si>
  <si>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</si>
  <si>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</si>
  <si>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</si>
  <si>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</si>
  <si>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</si>
  <si>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</si>
  <si>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</si>
  <si>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</si>
  <si>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</si>
  <si>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</si>
  <si>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</si>
  <si>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</si>
  <si>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</si>
  <si>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</si>
  <si>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</si>
  <si>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</si>
  <si>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</si>
  <si>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</si>
  <si>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</si>
  <si>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</si>
  <si>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</si>
  <si>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</si>
  <si>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</si>
  <si>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</si>
  <si>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</si>
  <si>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</si>
  <si>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</si>
  <si>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</si>
  <si>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</si>
  <si>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</si>
  <si>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</si>
  <si>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</si>
  <si>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</si>
  <si>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</si>
  <si>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</si>
  <si>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</si>
  <si>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</si>
  <si>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</si>
  <si>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</si>
  <si>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</si>
  <si>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</si>
  <si>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</si>
  <si>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</si>
  <si>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</si>
  <si>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</si>
  <si>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</si>
  <si>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</si>
  <si>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</si>
  <si>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</si>
  <si>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</si>
  <si>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</si>
  <si>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</si>
  <si>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</si>
  <si>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</si>
  <si>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</si>
  <si>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</si>
  <si>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</si>
  <si>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</si>
  <si>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</si>
  <si>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</si>
  <si>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</si>
  <si>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</si>
  <si>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</si>
  <si>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</si>
  <si>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</si>
  <si>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</si>
  <si>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</si>
  <si>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</si>
  <si>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</si>
  <si>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</si>
  <si>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</si>
  <si>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</si>
  <si>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</si>
  <si>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</si>
  <si>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</si>
  <si>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</si>
  <si>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</si>
  <si>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</si>
  <si>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</si>
  <si>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</si>
  <si>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</si>
  <si>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</si>
  <si>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</si>
  <si>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</si>
  <si>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</si>
  <si>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</si>
  <si>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</si>
  <si>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</si>
  <si>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</si>
  <si>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</si>
  <si>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SUMIF(H2:H40,"&gt;20")</t>
  </si>
  <si>
    <t>IF(ISNA(C), 20, C)</t>
  </si>
  <si>
    <t>I have used mixture of isna and if statements to substitue the value, I have written the formula mentioned above that checks if the value is N/A then it substitute the N/A with 20 and if it's not 20 then the formula let the value remain as it is.</t>
  </si>
  <si>
    <t>I retrieved names corresponding to IDs in Table C from Table B using the INDEX and MATCH functions. This allowed me to fill two new columns in Table C with the names. Next, I used the retrieved names to pull corresponding values from Table A into the value column of Table C using a similar formula. This integrated data from all three tables, allowing me to find specific values based on relationships between IDs and names.</t>
  </si>
  <si>
    <t>INDEX($B$9:$J$18, MATCH(D23, $A$9:$A$18, 0), MATCH(E23, $B$9:$J$9, 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</si>
</sst>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106</v>
      </c>
    </row>
    <row r="2" spans="1:3" x14ac:dyDescent="0.3">
      <c r="A2" s="2" t="s">
        <v>107</v>
      </c>
    </row>
    <row r="3" spans="1:3" x14ac:dyDescent="0.3">
      <c r="A3" s="2" t="s">
        <v>108</v>
      </c>
    </row>
    <row r="4" spans="1:3" ht="14.4" x14ac:dyDescent="0.3">
      <c r="A4" s="2" t="s">
        <v>174</v>
      </c>
      <c r="C4" s="1"/>
    </row>
    <row r="5" spans="1:3" x14ac:dyDescent="0.3">
      <c r="A5" s="2" t="s">
        <v>149</v>
      </c>
    </row>
    <row r="8" spans="1:3" x14ac:dyDescent="0.3">
      <c r="A8" s="2" t="s">
        <v>170</v>
      </c>
    </row>
    <row r="9" spans="1:3" x14ac:dyDescent="0.3">
      <c r="A9" s="35" t="s">
        <v>168</v>
      </c>
      <c r="B9" s="25" t="s">
        <v>166</v>
      </c>
    </row>
    <row r="10" spans="1:3" x14ac:dyDescent="0.3">
      <c r="A10" s="34" t="s">
        <v>169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96</v>
      </c>
      <c r="B14" s="36">
        <v>40</v>
      </c>
    </row>
    <row r="15" spans="1:3" x14ac:dyDescent="0.3">
      <c r="A15" s="37" t="s">
        <v>167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2" activePane="bottomLeft" state="frozen"/>
      <selection pane="bottomLeft" activeCell="C29" sqref="C2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103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2" spans="1:24" x14ac:dyDescent="0.3">
      <c r="H42" s="1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173</v>
      </c>
    </row>
    <row r="2" spans="1:5" x14ac:dyDescent="0.3">
      <c r="A2" s="2"/>
      <c r="B2" s="5" t="s">
        <v>157</v>
      </c>
      <c r="C2" s="2"/>
    </row>
    <row r="3" spans="1:5" x14ac:dyDescent="0.3">
      <c r="A3" s="6">
        <v>1</v>
      </c>
      <c r="B3" s="2" t="s">
        <v>105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102</v>
      </c>
      <c r="C5" s="33" t="s">
        <v>175</v>
      </c>
      <c r="E5" s="1">
        <v>10</v>
      </c>
    </row>
    <row r="6" spans="1:5" x14ac:dyDescent="0.3">
      <c r="A6" s="6">
        <v>4</v>
      </c>
      <c r="B6" s="2" t="s">
        <v>104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3"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161</v>
      </c>
    </row>
    <row r="2" spans="1:7" s="40" customFormat="1" ht="21" x14ac:dyDescent="0.4">
      <c r="B2" s="40" t="s">
        <v>158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159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VLOOKUP(A6, Dataset!$A:$G, 7, FALSE)</f>
        <v>2.7</v>
      </c>
      <c r="C6" s="11">
        <f>VLOOKUP(A6, Dataset!$A:$H, 8, FALSE)</f>
        <v>3.6</v>
      </c>
      <c r="D6" s="11">
        <f>VLOOKUP(A6, Dataset!$A:$I, 9, FALSE)</f>
        <v>4.2</v>
      </c>
      <c r="E6" s="11">
        <f>VLOOKUP(A6, Dataset!$A:$S, 19, FALSE)</f>
        <v>7.6</v>
      </c>
      <c r="F6" s="8">
        <f>VLOOKUP(A6, Dataset!$A:$V, 22, FALSE)</f>
        <v>4.2</v>
      </c>
    </row>
    <row r="7" spans="1:7" ht="14.4" x14ac:dyDescent="0.3">
      <c r="A7" s="7" t="s">
        <v>4</v>
      </c>
      <c r="B7" s="11">
        <f>VLOOKUP(A7, Dataset!$A:$G, 7, FALSE)</f>
        <v>2.7</v>
      </c>
      <c r="C7" s="11">
        <f>VLOOKUP(A7, Dataset!$A:$H, 8, FALSE)</f>
        <v>3.6</v>
      </c>
      <c r="D7" s="11">
        <f>VLOOKUP(A7, Dataset!$A:$I, 9, FALSE)</f>
        <v>4.2</v>
      </c>
      <c r="E7" s="11">
        <f>VLOOKUP(A7, Dataset!$A:$S, 19, FALSE)</f>
        <v>7.6</v>
      </c>
      <c r="F7" s="8">
        <f>VLOOKUP(A7, Dataset!$A:$V, 22, FALSE)</f>
        <v>4.2</v>
      </c>
    </row>
    <row r="8" spans="1:7" ht="14.4" x14ac:dyDescent="0.3">
      <c r="A8" s="7" t="s">
        <v>7</v>
      </c>
      <c r="B8" s="11">
        <f>VLOOKUP(A8, Dataset!$A:$G, 7, FALSE)</f>
        <v>3.6</v>
      </c>
      <c r="C8" s="11">
        <f>VLOOKUP(A8, Dataset!$A:$H, 8, FALSE)</f>
        <v>5.4</v>
      </c>
      <c r="D8" s="11">
        <f>VLOOKUP(A8, Dataset!$A:$I, 9, FALSE)</f>
        <v>5.8</v>
      </c>
      <c r="E8" s="11">
        <f>VLOOKUP(A8, Dataset!$A:$S, 19, FALSE)</f>
        <v>11.1</v>
      </c>
      <c r="F8" s="8">
        <f>VLOOKUP(A8, Dataset!$A:$V, 22, FALSE)</f>
        <v>5.8</v>
      </c>
    </row>
    <row r="9" spans="1:7" ht="14.4" x14ac:dyDescent="0.3">
      <c r="A9" s="7" t="s">
        <v>8</v>
      </c>
      <c r="B9" s="11">
        <f>VLOOKUP(A9, Dataset!$A:$G, 7, FALSE)</f>
        <v>4.9000000000000004</v>
      </c>
      <c r="C9" s="11">
        <f>VLOOKUP(A9, Dataset!$A:$H, 8, FALSE)</f>
        <v>6.6</v>
      </c>
      <c r="D9" s="11">
        <f>VLOOKUP(A9, Dataset!$A:$I, 9, FALSE)</f>
        <v>8.1</v>
      </c>
      <c r="E9" s="11">
        <f>VLOOKUP(A9, Dataset!$A:$S, 19, FALSE)</f>
        <v>13.3</v>
      </c>
      <c r="F9" s="8">
        <f>VLOOKUP(A9, Dataset!$A:$V, 22, FALSE)</f>
        <v>8.1</v>
      </c>
    </row>
    <row r="10" spans="1:7" ht="14.4" x14ac:dyDescent="0.3">
      <c r="A10" s="7" t="s">
        <v>11</v>
      </c>
      <c r="B10" s="11">
        <f>VLOOKUP(A10, Dataset!$A:$G, 7, FALSE)</f>
        <v>9.4</v>
      </c>
      <c r="C10" s="11">
        <f>VLOOKUP(A10, Dataset!$A:$H, 8, FALSE)</f>
        <v>13.8</v>
      </c>
      <c r="D10" s="11">
        <f>VLOOKUP(A10, Dataset!$A:$I, 9, FALSE)</f>
        <v>16.100000000000001</v>
      </c>
      <c r="E10" s="11">
        <f>VLOOKUP(A10, Dataset!$A:$S, 19, FALSE)</f>
        <v>28.3</v>
      </c>
      <c r="F10" s="8">
        <f>VLOOKUP(A10, Dataset!$A:$V, 22, FALSE)</f>
        <v>16.100000000000001</v>
      </c>
    </row>
    <row r="11" spans="1:7" ht="14.4" x14ac:dyDescent="0.3">
      <c r="A11" s="7" t="s">
        <v>12</v>
      </c>
      <c r="B11" s="11">
        <f>VLOOKUP(A11, Dataset!$A:$G, 7, FALSE)</f>
        <v>11.6</v>
      </c>
      <c r="C11" s="11">
        <f>VLOOKUP(A11, Dataset!$A:$H, 8, FALSE)</f>
        <v>17.3</v>
      </c>
      <c r="D11" s="11">
        <f>VLOOKUP(A11, Dataset!$A:$I, 9, FALSE)</f>
        <v>21.3</v>
      </c>
      <c r="E11" s="11">
        <f>VLOOKUP(A11, Dataset!$A:$S, 19, FALSE)</f>
        <v>35.200000000000003</v>
      </c>
      <c r="F11" s="8">
        <f>VLOOKUP(A11, Dataset!$A:$V, 22, FALSE)</f>
        <v>21.3</v>
      </c>
    </row>
    <row r="12" spans="1:7" ht="14.4" x14ac:dyDescent="0.3">
      <c r="A12" s="7" t="s">
        <v>14</v>
      </c>
      <c r="B12" s="11">
        <f>VLOOKUP(A12, Dataset!$A:$G, 7, FALSE)</f>
        <v>18.399999999999999</v>
      </c>
      <c r="C12" s="11">
        <f>VLOOKUP(A12, Dataset!$A:$H, 8, FALSE)</f>
        <v>27.5</v>
      </c>
      <c r="D12" s="11">
        <f>VLOOKUP(A12, Dataset!$A:$I, 9, FALSE)</f>
        <v>33.799999999999997</v>
      </c>
      <c r="E12" s="11">
        <f>VLOOKUP(A12, Dataset!$A:$S, 19, FALSE)</f>
        <v>55.6</v>
      </c>
      <c r="F12" s="8">
        <f>VLOOKUP(A12, Dataset!$A:$V, 22, FALSE)</f>
        <v>33.799999999999997</v>
      </c>
    </row>
    <row r="13" spans="1:7" ht="14.4" x14ac:dyDescent="0.3">
      <c r="A13" s="7" t="s">
        <v>15</v>
      </c>
      <c r="B13" s="11">
        <f>VLOOKUP(A13, Dataset!$A:$G, 7, FALSE)</f>
        <v>0</v>
      </c>
      <c r="C13" s="11">
        <f>VLOOKUP(A13, Dataset!$A:$H, 8, FALSE)</f>
        <v>0</v>
      </c>
      <c r="D13" s="11">
        <f>VLOOKUP(A13, Dataset!$A:$I, 9, FALSE)</f>
        <v>0</v>
      </c>
      <c r="E13" s="11">
        <f>VLOOKUP(A13, Dataset!$A:$S, 19, FALSE)</f>
        <v>0</v>
      </c>
      <c r="F13" s="8">
        <f>VLOOKUP(A13, Dataset!$A:$V, 22, FALSE)</f>
        <v>0</v>
      </c>
    </row>
    <row r="14" spans="1:7" ht="14.4" x14ac:dyDescent="0.3">
      <c r="A14" s="7" t="s">
        <v>16</v>
      </c>
      <c r="B14" s="11">
        <f>VLOOKUP(A14, Dataset!$A:$G, 7, FALSE)</f>
        <v>21.9</v>
      </c>
      <c r="C14" s="11">
        <f>VLOOKUP(A14, Dataset!$A:$H, 8, FALSE)</f>
        <v>32.1</v>
      </c>
      <c r="D14" s="11">
        <f>VLOOKUP(A14, Dataset!$A:$I, 9, FALSE)</f>
        <v>40.1</v>
      </c>
      <c r="E14" s="11">
        <f>VLOOKUP(A14, Dataset!$A:$S, 19, FALSE)</f>
        <v>61.5</v>
      </c>
      <c r="F14" s="8">
        <f>VLOOKUP(A14, Dataset!$A:$V, 22, FALSE)</f>
        <v>40.1</v>
      </c>
    </row>
    <row r="15" spans="1:7" ht="14.4" x14ac:dyDescent="0.3">
      <c r="A15" s="7" t="s">
        <v>18</v>
      </c>
      <c r="B15" s="11">
        <f>VLOOKUP(A15, Dataset!$A:$G, 7, FALSE)</f>
        <v>26.8</v>
      </c>
      <c r="C15" s="11">
        <f>VLOOKUP(A15, Dataset!$A:$H, 8, FALSE)</f>
        <v>39.299999999999997</v>
      </c>
      <c r="D15" s="11">
        <f>VLOOKUP(A15, Dataset!$A:$I, 9, FALSE)</f>
        <v>47.9</v>
      </c>
      <c r="E15" s="11">
        <f>VLOOKUP(A15, Dataset!$A:$S, 19, FALSE)</f>
        <v>79.599999999999994</v>
      </c>
      <c r="F15" s="8">
        <f>VLOOKUP(A15, Dataset!$A:$V, 22, FALSE)</f>
        <v>47.9</v>
      </c>
    </row>
    <row r="16" spans="1:7" ht="14.4" x14ac:dyDescent="0.3">
      <c r="A16" s="7" t="s">
        <v>20</v>
      </c>
      <c r="B16" s="11">
        <f>VLOOKUP(A16, Dataset!$A:$G, 7, FALSE)</f>
        <v>28.5</v>
      </c>
      <c r="C16" s="11">
        <f>VLOOKUP(A16, Dataset!$A:$H, 8, FALSE)</f>
        <v>42.3</v>
      </c>
      <c r="D16" s="11">
        <f>VLOOKUP(A16, Dataset!$A:$I, 9, FALSE)</f>
        <v>52.3</v>
      </c>
      <c r="E16" s="11">
        <f>VLOOKUP(A16, Dataset!$A:$S, 19, FALSE)</f>
        <v>85.4</v>
      </c>
      <c r="F16" s="8">
        <f>VLOOKUP(A16, Dataset!$A:$V, 22, FALSE)</f>
        <v>52.3</v>
      </c>
    </row>
    <row r="17" spans="1:6" ht="14.4" x14ac:dyDescent="0.3">
      <c r="A17" s="7" t="s">
        <v>22</v>
      </c>
      <c r="B17" s="11">
        <f>VLOOKUP(A17, Dataset!$A:$G, 7, FALSE)</f>
        <v>30.7</v>
      </c>
      <c r="C17" s="11">
        <f>VLOOKUP(A17, Dataset!$A:$H, 8, FALSE)</f>
        <v>45.5</v>
      </c>
      <c r="D17" s="11">
        <f>VLOOKUP(A17, Dataset!$A:$I, 9, FALSE)</f>
        <v>57</v>
      </c>
      <c r="E17" s="11">
        <f>VLOOKUP(A17, Dataset!$A:$S, 19, FALSE)</f>
        <v>92.1</v>
      </c>
      <c r="F17" s="8">
        <f>VLOOKUP(A17, Dataset!$A:$V, 22, FALSE)</f>
        <v>57</v>
      </c>
    </row>
    <row r="18" spans="1:6" ht="14.4" x14ac:dyDescent="0.3">
      <c r="A18" s="7" t="s">
        <v>23</v>
      </c>
      <c r="B18" s="11">
        <f>VLOOKUP(A18, Dataset!$A:$G, 7, FALSE)</f>
        <v>33.799999999999997</v>
      </c>
      <c r="C18" s="11">
        <f>VLOOKUP(A18, Dataset!$A:$H, 8, FALSE)</f>
        <v>50.1</v>
      </c>
      <c r="D18" s="11">
        <f>VLOOKUP(A18, Dataset!$A:$I, 9, FALSE)</f>
        <v>61.4</v>
      </c>
      <c r="E18" s="11">
        <f>VLOOKUP(A18, Dataset!$A:$S, 19, FALSE)</f>
        <v>101.3</v>
      </c>
      <c r="F18" s="8">
        <f>VLOOKUP(A18, Dataset!$A:$V, 22, FALSE)</f>
        <v>61.4</v>
      </c>
    </row>
    <row r="19" spans="1:6" ht="14.4" x14ac:dyDescent="0.3">
      <c r="A19" s="7" t="s">
        <v>24</v>
      </c>
      <c r="B19" s="11">
        <f>VLOOKUP(A19, Dataset!$A:$G, 7, FALSE)</f>
        <v>34.700000000000003</v>
      </c>
      <c r="C19" s="11">
        <f>VLOOKUP(A19, Dataset!$A:$H, 8, FALSE)</f>
        <v>52.3</v>
      </c>
      <c r="D19" s="11">
        <f>VLOOKUP(A19, Dataset!$A:$I, 9, FALSE)</f>
        <v>63.6</v>
      </c>
      <c r="E19" s="11">
        <f>VLOOKUP(A19, Dataset!$A:$S, 19, FALSE)</f>
        <v>106.1</v>
      </c>
      <c r="F19" s="8">
        <f>VLOOKUP(A19, Dataset!$A:$V, 22, FALSE)</f>
        <v>63.6</v>
      </c>
    </row>
    <row r="20" spans="1:6" ht="14.4" x14ac:dyDescent="0.3">
      <c r="A20" s="7" t="s">
        <v>28</v>
      </c>
      <c r="B20" s="11">
        <f>VLOOKUP(A20, Dataset!$A:$G, 7, FALSE)</f>
        <v>0</v>
      </c>
      <c r="C20" s="11">
        <f>VLOOKUP(A20, Dataset!$A:$H, 8, FALSE)</f>
        <v>0</v>
      </c>
      <c r="D20" s="11">
        <f>VLOOKUP(A20, Dataset!$A:$I, 9, FALSE)</f>
        <v>0</v>
      </c>
      <c r="E20" s="11">
        <f>VLOOKUP(A20, Dataset!$A:$S, 19, FALSE)</f>
        <v>0</v>
      </c>
      <c r="F20" s="8">
        <f>VLOOKUP(A20, Dataset!$A:$V, 22, FALSE)</f>
        <v>0</v>
      </c>
    </row>
    <row r="21" spans="1:6" ht="14.4" x14ac:dyDescent="0.3">
      <c r="A21" s="7" t="s">
        <v>57</v>
      </c>
      <c r="B21" s="11">
        <f>VLOOKUP(A21, Dataset!$A:$G, 7, FALSE)</f>
        <v>41.3</v>
      </c>
      <c r="C21" s="11">
        <f>VLOOKUP(A21, Dataset!$A:$H, 8, FALSE)</f>
        <v>61.4</v>
      </c>
      <c r="D21" s="11">
        <f>VLOOKUP(A21, Dataset!$A:$I, 9, FALSE)</f>
        <v>75</v>
      </c>
      <c r="E21" s="11">
        <f>VLOOKUP(A21, Dataset!$A:$S, 19, FALSE)</f>
        <v>124.4</v>
      </c>
      <c r="F21" s="8">
        <f>VLOOKUP(A21, Dataset!$A:$V, 22, FALSE)</f>
        <v>75</v>
      </c>
    </row>
    <row r="22" spans="1:6" ht="14.4" x14ac:dyDescent="0.3">
      <c r="A22" s="7" t="s">
        <v>58</v>
      </c>
      <c r="B22" s="11">
        <f>VLOOKUP(A22, Dataset!$A:$G, 7, FALSE)</f>
        <v>-1</v>
      </c>
      <c r="C22" s="11">
        <f>VLOOKUP(A22, Dataset!$A:$H, 8, FALSE)</f>
        <v>-1</v>
      </c>
      <c r="D22" s="11">
        <f>VLOOKUP(A22, Dataset!$A:$I, 9, FALSE)</f>
        <v>-1</v>
      </c>
      <c r="E22" s="11">
        <f>VLOOKUP(A22, Dataset!$A:$S, 19, FALSE)</f>
        <v>-1</v>
      </c>
      <c r="F22" s="8">
        <f>VLOOKUP(A22, Dataset!$A:$V, 22, FALSE)</f>
        <v>-1</v>
      </c>
    </row>
    <row r="23" spans="1:6" ht="14.4" x14ac:dyDescent="0.3">
      <c r="A23" s="7" t="s">
        <v>31</v>
      </c>
      <c r="B23" s="11">
        <f>VLOOKUP(A23, Dataset!$A:$G, 7, FALSE)</f>
        <v>45</v>
      </c>
      <c r="C23" s="11">
        <f>VLOOKUP(A23, Dataset!$A:$H, 8, FALSE)</f>
        <v>65.900000000000006</v>
      </c>
      <c r="D23" s="11">
        <f>VLOOKUP(A23, Dataset!$A:$I, 9, FALSE)</f>
        <v>79.400000000000006</v>
      </c>
      <c r="E23" s="11">
        <f>VLOOKUP(A23, Dataset!$A:$S, 19, FALSE)</f>
        <v>133.4</v>
      </c>
      <c r="F23" s="8">
        <f>VLOOKUP(A23, Dataset!$A:$V, 22, FALSE)</f>
        <v>79.400000000000006</v>
      </c>
    </row>
    <row r="24" spans="1:6" ht="14.4" x14ac:dyDescent="0.3">
      <c r="A24" s="7" t="s">
        <v>32</v>
      </c>
      <c r="B24" s="11">
        <f>VLOOKUP(A24, Dataset!$A:$G, 7, FALSE)</f>
        <v>-1</v>
      </c>
      <c r="C24" s="11">
        <f>VLOOKUP(A24, Dataset!$A:$H, 8, FALSE)</f>
        <v>-1</v>
      </c>
      <c r="D24" s="11">
        <f>VLOOKUP(A24, Dataset!$A:$I, 9, FALSE)</f>
        <v>-1</v>
      </c>
      <c r="E24" s="11">
        <f>VLOOKUP(A24, Dataset!$A:$S, 19, FALSE)</f>
        <v>-1</v>
      </c>
      <c r="F24" s="8">
        <f>VLOOKUP(A24, Dataset!$A:$V, 22, FALSE)</f>
        <v>-1</v>
      </c>
    </row>
    <row r="25" spans="1:6" ht="14.4" x14ac:dyDescent="0.3">
      <c r="A25" s="7" t="s">
        <v>34</v>
      </c>
      <c r="B25" s="11">
        <f>VLOOKUP(A25, Dataset!$A:$G, 7, FALSE)</f>
        <v>43.3</v>
      </c>
      <c r="C25" s="11">
        <f>VLOOKUP(A25, Dataset!$A:$H, 8, FALSE)</f>
        <v>63.6</v>
      </c>
      <c r="D25" s="11">
        <f>VLOOKUP(A25, Dataset!$A:$I, 9, FALSE)</f>
        <v>79.400000000000006</v>
      </c>
      <c r="E25" s="11">
        <f>VLOOKUP(A25, Dataset!$A:$S, 19, FALSE)</f>
        <v>128.6</v>
      </c>
      <c r="F25" s="8">
        <f>VLOOKUP(A25, Dataset!$A:$V, 22, FALSE)</f>
        <v>79.400000000000006</v>
      </c>
    </row>
    <row r="26" spans="1:6" ht="14.4" x14ac:dyDescent="0.3">
      <c r="A26" s="7" t="s">
        <v>37</v>
      </c>
      <c r="B26" s="11">
        <f>VLOOKUP(A26, Dataset!$A:$G, 7, FALSE)</f>
        <v>49.1</v>
      </c>
      <c r="C26" s="11">
        <f>VLOOKUP(A26, Dataset!$A:$H, 8, FALSE)</f>
        <v>72.8</v>
      </c>
      <c r="D26" s="11">
        <f>VLOOKUP(A26, Dataset!$A:$I, 9, FALSE)</f>
        <v>90.9</v>
      </c>
      <c r="E26" s="11">
        <f>VLOOKUP(A26, Dataset!$A:$S, 19, FALSE)</f>
        <v>146.80000000000001</v>
      </c>
      <c r="F26" s="8">
        <f>VLOOKUP(A26, Dataset!$A:$V, 22, FALSE)</f>
        <v>90.9</v>
      </c>
    </row>
    <row r="27" spans="1:6" ht="14.4" x14ac:dyDescent="0.3">
      <c r="A27" s="7" t="s">
        <v>39</v>
      </c>
      <c r="B27" s="11">
        <f>VLOOKUP(A27, Dataset!$A:$G, 7, FALSE)</f>
        <v>51.8</v>
      </c>
      <c r="C27" s="11">
        <f>VLOOKUP(A27, Dataset!$A:$H, 8, FALSE)</f>
        <v>77.2</v>
      </c>
      <c r="D27" s="11">
        <f>VLOOKUP(A27, Dataset!$A:$I, 9, FALSE)</f>
        <v>93.1</v>
      </c>
      <c r="E27" s="11">
        <f>VLOOKUP(A27, Dataset!$A:$S, 19, FALSE)</f>
        <v>156.4</v>
      </c>
      <c r="F27" s="8">
        <f>VLOOKUP(A27, Dataset!$A:$V, 22, FALSE)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>MAX(C6:C27)</f>
        <v>77.2</v>
      </c>
      <c r="D29" s="30">
        <f>MAX(D6:D27)</f>
        <v>93.1</v>
      </c>
      <c r="E29" s="30">
        <f>MAX(E6:E27)</f>
        <v>156.4</v>
      </c>
      <c r="F29" s="30">
        <f>MAX(F6:F27)</f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>AVERAGE(C6:C27)</f>
        <v>30.831818181818186</v>
      </c>
      <c r="D30" s="30">
        <f>AVERAGE(D6:D27)</f>
        <v>37.800000000000004</v>
      </c>
      <c r="E30" s="30">
        <f>AVERAGE(E6:E27)</f>
        <v>62.377272727272725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6"/>
  <sheetViews>
    <sheetView topLeftCell="A40" zoomScaleNormal="100" workbookViewId="0">
      <selection activeCell="F21" sqref="F21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171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148</v>
      </c>
    </row>
    <row r="5" spans="1:10" ht="18" x14ac:dyDescent="0.35">
      <c r="A5" s="42" t="s">
        <v>53</v>
      </c>
      <c r="B5" s="39"/>
    </row>
    <row r="6" spans="1:10" ht="18" x14ac:dyDescent="0.35">
      <c r="A6" s="42" t="s">
        <v>150</v>
      </c>
      <c r="B6" s="39"/>
    </row>
    <row r="7" spans="1:10" ht="18" x14ac:dyDescent="0.35">
      <c r="A7" s="42"/>
      <c r="B7" s="39"/>
    </row>
    <row r="9" spans="1:10" ht="23.4" x14ac:dyDescent="0.45">
      <c r="A9" s="17" t="s">
        <v>162</v>
      </c>
      <c r="I9" s="2"/>
      <c r="J9" s="2"/>
    </row>
    <row r="10" spans="1:10" x14ac:dyDescent="0.3">
      <c r="A10" s="32" t="s">
        <v>100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118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159</v>
      </c>
    </row>
    <row r="15" spans="1:10" x14ac:dyDescent="0.3">
      <c r="A15" s="13" t="s">
        <v>101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118</v>
      </c>
      <c r="B16" s="11" t="str">
        <f>LEFT(A16,5)</f>
        <v>20000</v>
      </c>
      <c r="C16" s="1" t="str">
        <f>MID(A16,7,6)</f>
        <v>Monday</v>
      </c>
      <c r="D16" s="11" t="str">
        <f>MID(A16,14,1)</f>
        <v>0</v>
      </c>
      <c r="E16" s="1" t="str">
        <f>MID(A16,16,6)</f>
        <v>Sunday</v>
      </c>
      <c r="F16" s="11" t="str">
        <f>RIGHT(A16,2)</f>
        <v>24</v>
      </c>
    </row>
    <row r="17" spans="1:6" x14ac:dyDescent="0.3">
      <c r="A17" s="7" t="s">
        <v>119</v>
      </c>
      <c r="B17" s="11" t="str">
        <f t="shared" ref="B17:B54" si="0">LEFT(A17,5)</f>
        <v>20002</v>
      </c>
      <c r="C17" s="1" t="str">
        <f t="shared" ref="C17:C54" si="1">MID(A17,7,6)</f>
        <v>Monday</v>
      </c>
      <c r="D17" s="11" t="str">
        <f t="shared" ref="D17:D56" si="2">MID(A17,14,1)</f>
        <v>0</v>
      </c>
      <c r="E17" s="1" t="str">
        <f t="shared" ref="E17:E54" si="3">MID(A17,16,6)</f>
        <v>Sunday</v>
      </c>
      <c r="F17" s="11" t="str">
        <f t="shared" ref="F17:F54" si="4">RIGHT(A17,2)</f>
        <v>24</v>
      </c>
    </row>
    <row r="18" spans="1:6" x14ac:dyDescent="0.3">
      <c r="A18" s="7" t="s">
        <v>120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">
      <c r="A19" s="7" t="s">
        <v>121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">
      <c r="A20" s="7" t="s">
        <v>122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">
      <c r="A21" s="7" t="s">
        <v>123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">
      <c r="A22" s="7" t="s">
        <v>124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">
      <c r="A23" s="7" t="s">
        <v>125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">
      <c r="A24" s="7" t="s">
        <v>126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">
      <c r="A25" s="7" t="s">
        <v>127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">
      <c r="A26" s="7" t="s">
        <v>128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">
      <c r="A27" s="7" t="s">
        <v>129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">
      <c r="A28" s="7" t="s">
        <v>130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">
      <c r="A29" s="7" t="s">
        <v>131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">
      <c r="A30" s="7" t="s">
        <v>132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">
      <c r="A31" s="7" t="s">
        <v>133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">
      <c r="A32" s="7" t="s">
        <v>134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">
      <c r="A33" s="7" t="s">
        <v>135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">
      <c r="A34" s="7" t="s">
        <v>136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">
      <c r="A35" s="7" t="s">
        <v>137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">
      <c r="A36" s="7" t="s">
        <v>138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">
      <c r="A37" s="7" t="s">
        <v>139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">
      <c r="A38" s="7" t="s">
        <v>140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">
      <c r="A39" s="7" t="s">
        <v>141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">
      <c r="A40" s="7" t="s">
        <v>142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">
      <c r="A41" s="7" t="s">
        <v>143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">
      <c r="A42" s="7" t="s">
        <v>144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">
      <c r="A43" s="7" t="s">
        <v>145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">
      <c r="A44" s="7" t="s">
        <v>146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">
      <c r="A45" s="7" t="s">
        <v>147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">
      <c r="A46" s="7" t="s">
        <v>109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">
      <c r="A47" s="7" t="s">
        <v>110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">
      <c r="A48" s="7" t="s">
        <v>111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">
      <c r="A49" s="7" t="s">
        <v>112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">
      <c r="A50" s="7" t="s">
        <v>113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">
      <c r="A51" s="7" t="s">
        <v>114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">
      <c r="A52" s="7" t="s">
        <v>115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">
      <c r="A53" s="7" t="s">
        <v>116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">
      <c r="A54" s="9" t="s">
        <v>117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  <row r="55" spans="1:6" x14ac:dyDescent="0.3">
      <c r="D55" s="11"/>
    </row>
    <row r="56" spans="1:6" x14ac:dyDescent="0.3">
      <c r="D56" s="11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D21" sqref="D21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1" t="s">
        <v>85</v>
      </c>
      <c r="B1" s="40" t="s">
        <v>164</v>
      </c>
    </row>
    <row r="2" spans="1:4" ht="18" x14ac:dyDescent="0.35">
      <c r="B2" s="39" t="s">
        <v>163</v>
      </c>
    </row>
    <row r="5" spans="1:4" ht="14.4" x14ac:dyDescent="0.3">
      <c r="B5" s="1" t="s">
        <v>148</v>
      </c>
    </row>
    <row r="6" spans="1:4" ht="14.4" x14ac:dyDescent="0.3">
      <c r="A6" s="3" t="s">
        <v>53</v>
      </c>
      <c r="B6" s="1" t="s">
        <v>176</v>
      </c>
    </row>
    <row r="7" spans="1:4" ht="14.4" x14ac:dyDescent="0.3">
      <c r="A7" s="3" t="s">
        <v>150</v>
      </c>
      <c r="B7" s="1" t="s">
        <v>177</v>
      </c>
    </row>
    <row r="10" spans="1:4" ht="23.4" x14ac:dyDescent="0.45">
      <c r="A10" s="17" t="s">
        <v>159</v>
      </c>
    </row>
    <row r="11" spans="1:4" ht="14.4" x14ac:dyDescent="0.3">
      <c r="A11" s="31" t="s">
        <v>86</v>
      </c>
      <c r="B11" s="31" t="s">
        <v>86</v>
      </c>
      <c r="C11" s="31" t="s">
        <v>86</v>
      </c>
    </row>
    <row r="12" spans="1:4" ht="14.4" x14ac:dyDescent="0.3">
      <c r="A12" s="31">
        <v>44927</v>
      </c>
      <c r="B12" s="16" t="s">
        <v>59</v>
      </c>
      <c r="C12" s="16">
        <v>200</v>
      </c>
      <c r="D12" s="2">
        <f>IF(ISNA(C12), 20, C12)</f>
        <v>200</v>
      </c>
    </row>
    <row r="13" spans="1:4" ht="14.4" x14ac:dyDescent="0.3">
      <c r="A13" s="31">
        <v>44928</v>
      </c>
      <c r="B13" s="16" t="s">
        <v>60</v>
      </c>
      <c r="C13" s="16" t="e">
        <v>#N/A</v>
      </c>
      <c r="D13" s="2">
        <f t="shared" ref="D13:D21" si="0">IF(ISNA(C13), 20, C13)</f>
        <v>20</v>
      </c>
    </row>
    <row r="14" spans="1:4" ht="14.4" x14ac:dyDescent="0.3">
      <c r="A14" s="31">
        <v>44929</v>
      </c>
      <c r="B14" s="16" t="s">
        <v>61</v>
      </c>
      <c r="C14" s="16">
        <v>50</v>
      </c>
      <c r="D14" s="2">
        <f t="shared" si="0"/>
        <v>50</v>
      </c>
    </row>
    <row r="15" spans="1:4" ht="14.4" x14ac:dyDescent="0.3">
      <c r="A15" s="31">
        <v>44930</v>
      </c>
      <c r="B15" s="16" t="s">
        <v>62</v>
      </c>
      <c r="C15" s="16" t="e">
        <v>#N/A</v>
      </c>
      <c r="D15" s="2">
        <f t="shared" si="0"/>
        <v>20</v>
      </c>
    </row>
    <row r="16" spans="1:4" ht="14.4" x14ac:dyDescent="0.3">
      <c r="A16" s="31">
        <v>44931</v>
      </c>
      <c r="B16" s="16" t="s">
        <v>63</v>
      </c>
      <c r="C16" s="16">
        <v>10</v>
      </c>
      <c r="D16" s="2">
        <f t="shared" si="0"/>
        <v>10</v>
      </c>
    </row>
    <row r="17" spans="1:4" ht="14.4" x14ac:dyDescent="0.3">
      <c r="A17" s="31">
        <v>44932</v>
      </c>
      <c r="B17" s="16" t="s">
        <v>151</v>
      </c>
      <c r="C17" s="16">
        <v>150</v>
      </c>
      <c r="D17" s="2">
        <f t="shared" si="0"/>
        <v>150</v>
      </c>
    </row>
    <row r="18" spans="1:4" ht="14.4" x14ac:dyDescent="0.3">
      <c r="A18" s="31">
        <v>44933</v>
      </c>
      <c r="B18" s="16" t="s">
        <v>152</v>
      </c>
      <c r="C18" s="16">
        <v>80</v>
      </c>
      <c r="D18" s="2">
        <f t="shared" si="0"/>
        <v>80</v>
      </c>
    </row>
    <row r="19" spans="1:4" ht="14.4" x14ac:dyDescent="0.3">
      <c r="A19" s="31">
        <v>44934</v>
      </c>
      <c r="B19" s="16" t="s">
        <v>153</v>
      </c>
      <c r="C19" s="16" t="e">
        <v>#N/A</v>
      </c>
      <c r="D19" s="2">
        <f t="shared" si="0"/>
        <v>20</v>
      </c>
    </row>
    <row r="20" spans="1:4" ht="14.4" x14ac:dyDescent="0.3">
      <c r="A20" s="31">
        <v>44935</v>
      </c>
      <c r="B20" s="16" t="s">
        <v>154</v>
      </c>
      <c r="C20" s="16">
        <v>30</v>
      </c>
      <c r="D20" s="2">
        <f t="shared" si="0"/>
        <v>30</v>
      </c>
    </row>
    <row r="21" spans="1:4" ht="14.4" x14ac:dyDescent="0.3">
      <c r="A21" s="31">
        <v>44936</v>
      </c>
      <c r="B21" s="16" t="s">
        <v>155</v>
      </c>
      <c r="C21" s="16" t="e">
        <v>#N/A</v>
      </c>
      <c r="D21" s="2">
        <f t="shared" si="0"/>
        <v>20</v>
      </c>
    </row>
    <row r="22" spans="1:4" ht="14.4" x14ac:dyDescent="0.3">
      <c r="B22" s="16" t="s">
        <v>156</v>
      </c>
      <c r="C22" s="24"/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5" sqref="C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96</v>
      </c>
      <c r="B1" s="40" t="s">
        <v>172</v>
      </c>
    </row>
    <row r="3" spans="1:14" ht="14.4" x14ac:dyDescent="0.3">
      <c r="B3" s="1" t="s">
        <v>148</v>
      </c>
    </row>
    <row r="4" spans="1:14" ht="18" x14ac:dyDescent="0.35">
      <c r="A4" s="42" t="s">
        <v>53</v>
      </c>
      <c r="B4" s="1"/>
      <c r="C4" s="2" t="s">
        <v>179</v>
      </c>
    </row>
    <row r="5" spans="1:14" ht="18" x14ac:dyDescent="0.35">
      <c r="A5" s="42" t="s">
        <v>150</v>
      </c>
      <c r="B5" s="1"/>
      <c r="C5" s="2" t="s">
        <v>178</v>
      </c>
    </row>
    <row r="6" spans="1:14" ht="14.4" x14ac:dyDescent="0.3">
      <c r="A6" s="3"/>
      <c r="B6" s="1"/>
    </row>
    <row r="8" spans="1:14" ht="23.4" x14ac:dyDescent="0.45">
      <c r="A8" s="17" t="s">
        <v>159</v>
      </c>
      <c r="M8" s="17" t="s">
        <v>160</v>
      </c>
    </row>
    <row r="9" spans="1:14" ht="14.4" x14ac:dyDescent="0.3">
      <c r="A9" s="25"/>
      <c r="B9" s="25" t="s">
        <v>87</v>
      </c>
      <c r="C9" s="25" t="s">
        <v>88</v>
      </c>
      <c r="D9" s="25" t="s">
        <v>89</v>
      </c>
      <c r="E9" s="25" t="s">
        <v>90</v>
      </c>
      <c r="F9" s="25" t="s">
        <v>91</v>
      </c>
      <c r="G9" s="25" t="s">
        <v>92</v>
      </c>
      <c r="H9" s="25" t="s">
        <v>93</v>
      </c>
      <c r="I9" s="25" t="s">
        <v>94</v>
      </c>
      <c r="J9" s="25" t="s">
        <v>95</v>
      </c>
      <c r="M9" s="18" t="s">
        <v>43</v>
      </c>
      <c r="N9" s="18" t="s">
        <v>97</v>
      </c>
    </row>
    <row r="10" spans="1:14" ht="14.4" x14ac:dyDescent="0.3">
      <c r="A10" s="25" t="s">
        <v>87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87</v>
      </c>
    </row>
    <row r="11" spans="1:14" ht="14.4" x14ac:dyDescent="0.3">
      <c r="A11" s="25" t="s">
        <v>88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88</v>
      </c>
    </row>
    <row r="12" spans="1:14" ht="14.4" x14ac:dyDescent="0.3">
      <c r="A12" s="25" t="s">
        <v>89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89</v>
      </c>
    </row>
    <row r="13" spans="1:14" ht="14.4" x14ac:dyDescent="0.3">
      <c r="A13" s="25" t="s">
        <v>90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90</v>
      </c>
    </row>
    <row r="14" spans="1:14" ht="14.4" x14ac:dyDescent="0.3">
      <c r="A14" s="25" t="s">
        <v>91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91</v>
      </c>
    </row>
    <row r="15" spans="1:14" ht="14.4" x14ac:dyDescent="0.3">
      <c r="A15" s="25" t="s">
        <v>92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92</v>
      </c>
    </row>
    <row r="16" spans="1:14" ht="14.4" x14ac:dyDescent="0.3">
      <c r="A16" s="25" t="s">
        <v>93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93</v>
      </c>
    </row>
    <row r="17" spans="1:14" ht="14.4" x14ac:dyDescent="0.3">
      <c r="A17" s="25" t="s">
        <v>94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94</v>
      </c>
    </row>
    <row r="18" spans="1:14" ht="14.4" x14ac:dyDescent="0.3">
      <c r="A18" s="25" t="s">
        <v>95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95</v>
      </c>
    </row>
    <row r="21" spans="1:14" ht="23.4" x14ac:dyDescent="0.45">
      <c r="A21" s="17" t="s">
        <v>165</v>
      </c>
    </row>
    <row r="22" spans="1:14" ht="14.4" x14ac:dyDescent="0.3">
      <c r="A22" s="13" t="s">
        <v>98</v>
      </c>
      <c r="B22" s="16" t="s">
        <v>99</v>
      </c>
      <c r="C22" s="15" t="s">
        <v>100</v>
      </c>
    </row>
    <row r="23" spans="1:14" ht="14.4" x14ac:dyDescent="0.3">
      <c r="A23" s="7">
        <v>10100</v>
      </c>
      <c r="B23" s="11">
        <v>10102</v>
      </c>
      <c r="C23" s="43">
        <f>INDEX($B$9:$J$18, MATCH(D23, $A$9:$A$18, 0), MATCH(E23, $B$9:$J$9, 0))</f>
        <v>95</v>
      </c>
      <c r="D23" s="2" t="str">
        <f>INDEX($N$10:$N$19, MATCH(A23, $M$10:$M$19, 0))</f>
        <v>A</v>
      </c>
      <c r="E23" s="2" t="str">
        <f>INDEX($N$10:$N$19, MATCH(B23, $M$10:$M$19, 0))</f>
        <v>B</v>
      </c>
    </row>
    <row r="24" spans="1:14" ht="14.4" x14ac:dyDescent="0.3">
      <c r="A24" s="7">
        <v>10100</v>
      </c>
      <c r="B24" s="11">
        <v>10104</v>
      </c>
      <c r="C24" s="43">
        <f t="shared" ref="C24:C35" si="0">INDEX($B$9:$J$18, MATCH(D24, $A$9:$A$18, 0), MATCH(E24, $B$9:$J$9, 0))</f>
        <v>-1</v>
      </c>
      <c r="D24" s="2" t="str">
        <f t="shared" ref="D24:D35" si="1">INDEX($N$10:$N$19, MATCH(A24, $M$10:$M$19, 0))</f>
        <v>A</v>
      </c>
      <c r="E24" s="2" t="str">
        <f t="shared" ref="E24:E35" si="2">INDEX($N$10:$N$19, MATCH(B24, $M$10:$M$19, 0))</f>
        <v>C</v>
      </c>
    </row>
    <row r="25" spans="1:14" ht="14.4" x14ac:dyDescent="0.3">
      <c r="A25" s="7">
        <v>10108</v>
      </c>
      <c r="B25" s="11">
        <v>10102</v>
      </c>
      <c r="C25" s="43">
        <f t="shared" si="0"/>
        <v>160</v>
      </c>
      <c r="D25" s="2" t="str">
        <f t="shared" si="1"/>
        <v>E</v>
      </c>
      <c r="E25" s="2" t="str">
        <f t="shared" si="2"/>
        <v>B</v>
      </c>
    </row>
    <row r="26" spans="1:14" ht="14.4" x14ac:dyDescent="0.3">
      <c r="A26" s="7">
        <v>10100</v>
      </c>
      <c r="B26" s="11">
        <v>10106</v>
      </c>
      <c r="C26" s="43">
        <f t="shared" si="0"/>
        <v>185</v>
      </c>
      <c r="D26" s="2" t="str">
        <f t="shared" si="1"/>
        <v>A</v>
      </c>
      <c r="E26" s="2" t="str">
        <f t="shared" si="2"/>
        <v>D</v>
      </c>
    </row>
    <row r="27" spans="1:14" ht="14.4" x14ac:dyDescent="0.3">
      <c r="A27" s="7">
        <v>10108</v>
      </c>
      <c r="B27" s="11">
        <v>10110</v>
      </c>
      <c r="C27" s="43">
        <f t="shared" si="0"/>
        <v>50</v>
      </c>
      <c r="D27" s="2" t="str">
        <f t="shared" si="1"/>
        <v>E</v>
      </c>
      <c r="E27" s="2" t="str">
        <f t="shared" si="2"/>
        <v>F</v>
      </c>
    </row>
    <row r="28" spans="1:14" ht="14.4" x14ac:dyDescent="0.3">
      <c r="A28" s="7">
        <v>10102</v>
      </c>
      <c r="B28" s="11">
        <v>10104</v>
      </c>
      <c r="C28" s="43">
        <f t="shared" si="0"/>
        <v>-1</v>
      </c>
      <c r="D28" s="2" t="str">
        <f t="shared" si="1"/>
        <v>B</v>
      </c>
      <c r="E28" s="2" t="str">
        <f t="shared" si="2"/>
        <v>C</v>
      </c>
    </row>
    <row r="29" spans="1:14" ht="14.4" x14ac:dyDescent="0.3">
      <c r="A29" s="7">
        <v>10106</v>
      </c>
      <c r="B29" s="11">
        <v>10108</v>
      </c>
      <c r="C29" s="43">
        <f t="shared" si="0"/>
        <v>70</v>
      </c>
      <c r="D29" s="2" t="str">
        <f t="shared" si="1"/>
        <v>D</v>
      </c>
      <c r="E29" s="2" t="str">
        <f t="shared" si="2"/>
        <v>E</v>
      </c>
    </row>
    <row r="30" spans="1:14" ht="14.4" x14ac:dyDescent="0.3">
      <c r="A30" s="7">
        <v>10102</v>
      </c>
      <c r="B30" s="11">
        <v>10106</v>
      </c>
      <c r="C30" s="43">
        <f t="shared" si="0"/>
        <v>90</v>
      </c>
      <c r="D30" s="2" t="str">
        <f t="shared" si="1"/>
        <v>B</v>
      </c>
      <c r="E30" s="2" t="str">
        <f t="shared" si="2"/>
        <v>D</v>
      </c>
    </row>
    <row r="31" spans="1:14" ht="14.4" x14ac:dyDescent="0.3">
      <c r="A31" s="7">
        <v>10110</v>
      </c>
      <c r="B31" s="11">
        <v>10114</v>
      </c>
      <c r="C31" s="43">
        <f t="shared" si="0"/>
        <v>180</v>
      </c>
      <c r="D31" s="2" t="str">
        <f t="shared" si="1"/>
        <v>F</v>
      </c>
      <c r="E31" s="2" t="str">
        <f t="shared" si="2"/>
        <v>H</v>
      </c>
    </row>
    <row r="32" spans="1:14" ht="14.4" x14ac:dyDescent="0.3">
      <c r="A32" s="7">
        <v>10104</v>
      </c>
      <c r="B32" s="11">
        <v>10106</v>
      </c>
      <c r="C32" s="43">
        <f t="shared" si="0"/>
        <v>60</v>
      </c>
      <c r="D32" s="2" t="str">
        <f t="shared" si="1"/>
        <v>C</v>
      </c>
      <c r="E32" s="2" t="str">
        <f t="shared" si="2"/>
        <v>D</v>
      </c>
    </row>
    <row r="33" spans="1:5" ht="14.4" x14ac:dyDescent="0.3">
      <c r="A33" s="7">
        <v>10110</v>
      </c>
      <c r="B33" s="11">
        <v>10112</v>
      </c>
      <c r="C33" s="43">
        <f t="shared" si="0"/>
        <v>115</v>
      </c>
      <c r="D33" s="2" t="str">
        <f t="shared" si="1"/>
        <v>F</v>
      </c>
      <c r="E33" s="2" t="str">
        <f t="shared" si="2"/>
        <v>G</v>
      </c>
    </row>
    <row r="34" spans="1:5" ht="14.4" x14ac:dyDescent="0.3">
      <c r="A34" s="7">
        <v>10100</v>
      </c>
      <c r="B34" s="11">
        <v>10114</v>
      </c>
      <c r="C34" s="43">
        <f t="shared" si="0"/>
        <v>480</v>
      </c>
      <c r="D34" s="2" t="str">
        <f t="shared" si="1"/>
        <v>A</v>
      </c>
      <c r="E34" s="2" t="str">
        <f t="shared" si="2"/>
        <v>H</v>
      </c>
    </row>
    <row r="35" spans="1:5" ht="14.4" x14ac:dyDescent="0.3">
      <c r="A35" s="9">
        <v>10112</v>
      </c>
      <c r="B35" s="12">
        <v>10116</v>
      </c>
      <c r="C35" s="43">
        <f t="shared" si="0"/>
        <v>105</v>
      </c>
      <c r="D35" s="2" t="str">
        <f t="shared" si="1"/>
        <v>G</v>
      </c>
      <c r="E35" s="2" t="str">
        <f t="shared" si="2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Harsh Gadhiya</cp:lastModifiedBy>
  <dcterms:created xsi:type="dcterms:W3CDTF">2015-02-10T17:33:11Z</dcterms:created>
  <dcterms:modified xsi:type="dcterms:W3CDTF">2024-10-24T13:58:44Z</dcterms:modified>
</cp:coreProperties>
</file>